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liadoudou/Downloads/"/>
    </mc:Choice>
  </mc:AlternateContent>
  <xr:revisionPtr revIDLastSave="0" documentId="13_ncr:1_{EC605DD4-173E-D84A-9020-C1A27988C55E}" xr6:coauthVersionLast="47" xr6:coauthVersionMax="47" xr10:uidLastSave="{00000000-0000-0000-0000-000000000000}"/>
  <bookViews>
    <workbookView xWindow="26820" yWindow="0" windowWidth="24380" windowHeight="21600" tabRatio="500" xr2:uid="{00000000-000D-0000-FFFF-FFFF00000000}"/>
  </bookViews>
  <sheets>
    <sheet name="Unit Economic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C60" i="1" s="1"/>
  <c r="D59" i="1"/>
  <c r="M26" i="1"/>
  <c r="M30" i="1" s="1"/>
  <c r="M33" i="1" s="1"/>
  <c r="M50" i="1" s="1"/>
  <c r="M51" i="1" s="1"/>
  <c r="D60" i="1" s="1"/>
  <c r="M15" i="1"/>
  <c r="H29" i="1"/>
  <c r="H22" i="1"/>
  <c r="H16" i="1"/>
  <c r="H18" i="1" s="1"/>
  <c r="H23" i="1" s="1"/>
  <c r="H33" i="1" s="1"/>
  <c r="H34" i="1" s="1"/>
  <c r="C29" i="1"/>
  <c r="C15" i="1"/>
  <c r="C6" i="1"/>
  <c r="C58" i="1" s="1"/>
  <c r="C59" i="1"/>
  <c r="E59" i="1" l="1"/>
  <c r="E60" i="1"/>
  <c r="C33" i="1"/>
  <c r="C51" i="1" s="1"/>
  <c r="D58" i="1" s="1"/>
  <c r="E58" i="1" s="1"/>
  <c r="C34" i="1"/>
</calcChain>
</file>

<file path=xl/sharedStrings.xml><?xml version="1.0" encoding="utf-8"?>
<sst xmlns="http://schemas.openxmlformats.org/spreadsheetml/2006/main" count="273" uniqueCount="101">
  <si>
    <t>IMMOBILIER (T2)</t>
  </si>
  <si>
    <t>LAIT (Vaches)</t>
  </si>
  <si>
    <t>EMBOUCHE (Veaux)</t>
  </si>
  <si>
    <t>1. INVESTISSEMENT</t>
  </si>
  <si>
    <t>Nombre d'unités</t>
  </si>
  <si>
    <t>T2</t>
  </si>
  <si>
    <t>INPUT</t>
  </si>
  <si>
    <t>vaches</t>
  </si>
  <si>
    <t>Nombre d'unités/cycle</t>
  </si>
  <si>
    <t>veaux</t>
  </si>
  <si>
    <t>Prix par unité</t>
  </si>
  <si>
    <t>FCFA</t>
  </si>
  <si>
    <t>Cycles par an</t>
  </si>
  <si>
    <t>cycles</t>
  </si>
  <si>
    <t>Capital total</t>
  </si>
  <si>
    <t>CALCUL</t>
  </si>
  <si>
    <t>Prix achat/veau</t>
  </si>
  <si>
    <t>Hangar (fixe)</t>
  </si>
  <si>
    <t>2. P&amp;L PAR UNITÉ (1 an)</t>
  </si>
  <si>
    <t>REVENUS</t>
  </si>
  <si>
    <t xml:space="preserve">  Loyer mensuel</t>
  </si>
  <si>
    <t xml:space="preserve">  Production lait/jour</t>
  </si>
  <si>
    <t>L</t>
  </si>
  <si>
    <t>2. P&amp;L PAR UNITÉ (1 cycle)</t>
  </si>
  <si>
    <t xml:space="preserve">  Mois loués (base)</t>
  </si>
  <si>
    <t>mois</t>
  </si>
  <si>
    <t xml:space="preserve">  Jours production</t>
  </si>
  <si>
    <t>jours</t>
  </si>
  <si>
    <t xml:space="preserve">  Perte lait (%)</t>
  </si>
  <si>
    <t xml:space="preserve">  Poids achat</t>
  </si>
  <si>
    <t>kg</t>
  </si>
  <si>
    <t xml:space="preserve">  Gain poids</t>
  </si>
  <si>
    <t>COÛTS</t>
  </si>
  <si>
    <t xml:space="preserve">  Prix lait</t>
  </si>
  <si>
    <t>FCFA/L</t>
  </si>
  <si>
    <t xml:space="preserve">  Poids vente</t>
  </si>
  <si>
    <t xml:space="preserve">  Entretien</t>
  </si>
  <si>
    <t xml:space="preserve">  Revenu lait</t>
  </si>
  <si>
    <t xml:space="preserve">  Prix vente/kg</t>
  </si>
  <si>
    <t>FCFA/kg</t>
  </si>
  <si>
    <t xml:space="preserve">  Taxes</t>
  </si>
  <si>
    <t xml:space="preserve">  Taux natalité</t>
  </si>
  <si>
    <t xml:space="preserve">  Gestion</t>
  </si>
  <si>
    <t xml:space="preserve">  Poids veau</t>
  </si>
  <si>
    <t xml:space="preserve">  Prix veau/kg</t>
  </si>
  <si>
    <t xml:space="preserve">  Revenu veau</t>
  </si>
  <si>
    <t xml:space="preserve">  Achat veau</t>
  </si>
  <si>
    <t>BÉNÉFICE</t>
  </si>
  <si>
    <t xml:space="preserve">  Alimentation</t>
  </si>
  <si>
    <t xml:space="preserve">  Vétérinaire</t>
  </si>
  <si>
    <t xml:space="preserve">  Autres</t>
  </si>
  <si>
    <t>%</t>
  </si>
  <si>
    <t xml:space="preserve">  Fourrage</t>
  </si>
  <si>
    <t>3. RISQUE REVENU</t>
  </si>
  <si>
    <t>Variation LOW</t>
  </si>
  <si>
    <t>Variation BASE</t>
  </si>
  <si>
    <t>Variation HIGH</t>
  </si>
  <si>
    <t>4. RISQUE CAPITAL</t>
  </si>
  <si>
    <t>prise poids -</t>
  </si>
  <si>
    <t>Prob. perte totale</t>
  </si>
  <si>
    <t>→ -100%</t>
  </si>
  <si>
    <t>normale</t>
  </si>
  <si>
    <t>Prob. dépréciation</t>
  </si>
  <si>
    <t>→</t>
  </si>
  <si>
    <t>prise poids +</t>
  </si>
  <si>
    <t xml:space="preserve">  Impact dépréciation</t>
  </si>
  <si>
    <t>Prob. appréciation</t>
  </si>
  <si>
    <t>mauvaise lact.</t>
  </si>
  <si>
    <t xml:space="preserve">  Impact appréciation</t>
  </si>
  <si>
    <t>bonne lact.</t>
  </si>
  <si>
    <t>5. TOTAL PORTEFEUILLE</t>
  </si>
  <si>
    <t>malade</t>
  </si>
  <si>
    <t>Bénéfice total</t>
  </si>
  <si>
    <t>Rendement total</t>
  </si>
  <si>
    <t>5. TOTAL PORTEFEUILLE (1 an)</t>
  </si>
  <si>
    <t>Bénéfice/cycle</t>
  </si>
  <si>
    <t>Rendement annuel</t>
  </si>
  <si>
    <t>SYNTHÈSE COMPARÉE</t>
  </si>
  <si>
    <t>Actif</t>
  </si>
  <si>
    <t>Capital</t>
  </si>
  <si>
    <t>Bénéfice/an</t>
  </si>
  <si>
    <t>Rendement</t>
  </si>
  <si>
    <t>Risque</t>
  </si>
  <si>
    <t>Immobilier</t>
  </si>
  <si>
    <t>Faible</t>
  </si>
  <si>
    <t>Lait</t>
  </si>
  <si>
    <t>Moyen-Élevé</t>
  </si>
  <si>
    <t>Embouche</t>
  </si>
  <si>
    <t>Élevé</t>
  </si>
  <si>
    <t>Total Revenus</t>
  </si>
  <si>
    <t>Total Coûts</t>
  </si>
  <si>
    <t>Bénéfice par unité</t>
  </si>
  <si>
    <t>Rendement par unité</t>
  </si>
  <si>
    <t xml:space="preserve">  Lait vendu annuel</t>
  </si>
  <si>
    <t>Bénéfice/veau/cycle</t>
  </si>
  <si>
    <t>ROI/veau/cycle</t>
  </si>
  <si>
    <t>Bénéfice annuel (3 cycles)</t>
  </si>
  <si>
    <t>Coûts cycle 1 (Working Capital)</t>
  </si>
  <si>
    <t>vacance 3m/an</t>
  </si>
  <si>
    <t>vacance 2m/an</t>
  </si>
  <si>
    <t>vacance 1m/an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</si>
</sst>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i/>
      <sz val="9"/>
      <color rgb="FF000000"/>
      <name val="Arial"/>
      <family val="2"/>
    </font>
    <font>
      <b/>
      <i/>
      <sz val="10"/>
      <color theme="0"/>
      <name val="Arial"/>
      <family val="2"/>
    </font>
    <font>
      <sz val="10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6AE5F"/>
        <bgColor rgb="FF666699"/>
      </patternFill>
    </fill>
    <fill>
      <patternFill patternType="solid">
        <fgColor rgb="FF26AE5F"/>
        <bgColor indexed="64"/>
      </patternFill>
    </fill>
    <fill>
      <patternFill patternType="solid">
        <fgColor rgb="FF3398DB"/>
        <bgColor rgb="FF666699"/>
      </patternFill>
    </fill>
    <fill>
      <patternFill patternType="solid">
        <fgColor rgb="FF3398DB"/>
        <bgColor indexed="64"/>
      </patternFill>
    </fill>
    <fill>
      <patternFill patternType="solid">
        <fgColor rgb="FFE74B3C"/>
        <bgColor rgb="FF666699"/>
      </patternFill>
    </fill>
    <fill>
      <patternFill patternType="solid">
        <fgColor rgb="FFE74B3C"/>
        <bgColor indexed="64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5C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1"/>
        <bgColor rgb="FFCCCCFF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0" xfId="0" applyFont="1" applyFill="1" applyBorder="1" applyAlignment="1">
      <alignment horizontal="center"/>
    </xf>
    <xf numFmtId="0" fontId="4" fillId="3" borderId="0" xfId="0" applyFont="1" applyFill="1" applyBorder="1"/>
    <xf numFmtId="0" fontId="4" fillId="0" borderId="0" xfId="0" applyFont="1" applyBorder="1"/>
    <xf numFmtId="0" fontId="3" fillId="4" borderId="0" xfId="0" applyFont="1" applyFill="1" applyBorder="1" applyAlignment="1">
      <alignment horizontal="center"/>
    </xf>
    <xf numFmtId="0" fontId="4" fillId="5" borderId="0" xfId="0" applyFont="1" applyFill="1" applyBorder="1"/>
    <xf numFmtId="0" fontId="3" fillId="6" borderId="0" xfId="0" applyFont="1" applyFill="1" applyBorder="1" applyAlignment="1">
      <alignment horizontal="center"/>
    </xf>
    <xf numFmtId="0" fontId="4" fillId="7" borderId="0" xfId="0" applyFont="1" applyFill="1" applyBorder="1"/>
    <xf numFmtId="0" fontId="5" fillId="0" borderId="0" xfId="0" applyFont="1" applyBorder="1"/>
    <xf numFmtId="3" fontId="6" fillId="10" borderId="0" xfId="0" applyNumberFormat="1" applyFont="1" applyFill="1" applyBorder="1"/>
    <xf numFmtId="0" fontId="4" fillId="0" borderId="0" xfId="0" applyFont="1" applyBorder="1"/>
    <xf numFmtId="9" fontId="6" fillId="10" borderId="0" xfId="0" applyNumberFormat="1" applyFont="1" applyFill="1" applyBorder="1"/>
    <xf numFmtId="3" fontId="7" fillId="0" borderId="0" xfId="0" applyNumberFormat="1" applyFont="1" applyBorder="1"/>
    <xf numFmtId="164" fontId="7" fillId="0" borderId="0" xfId="0" applyNumberFormat="1" applyFont="1" applyBorder="1"/>
    <xf numFmtId="0" fontId="1" fillId="0" borderId="0" xfId="0" applyFont="1" applyBorder="1"/>
    <xf numFmtId="0" fontId="5" fillId="0" borderId="1" xfId="0" applyFont="1" applyBorder="1"/>
    <xf numFmtId="0" fontId="4" fillId="0" borderId="1" xfId="0" applyFont="1" applyBorder="1"/>
    <xf numFmtId="3" fontId="8" fillId="11" borderId="1" xfId="0" applyNumberFormat="1" applyFont="1" applyFill="1" applyBorder="1"/>
    <xf numFmtId="0" fontId="9" fillId="0" borderId="1" xfId="0" applyFont="1" applyBorder="1"/>
    <xf numFmtId="0" fontId="9" fillId="0" borderId="0" xfId="0" applyFont="1" applyBorder="1"/>
    <xf numFmtId="3" fontId="8" fillId="11" borderId="0" xfId="0" applyNumberFormat="1" applyFont="1" applyFill="1" applyBorder="1"/>
    <xf numFmtId="0" fontId="10" fillId="12" borderId="0" xfId="0" applyFont="1" applyFill="1" applyBorder="1"/>
    <xf numFmtId="164" fontId="11" fillId="13" borderId="0" xfId="0" applyNumberFormat="1" applyFont="1" applyFill="1" applyBorder="1"/>
    <xf numFmtId="0" fontId="2" fillId="8" borderId="0" xfId="0" applyFont="1" applyFill="1" applyBorder="1" applyAlignment="1"/>
    <xf numFmtId="0" fontId="4" fillId="9" borderId="0" xfId="0" applyFont="1" applyFill="1" applyBorder="1" applyAlignment="1"/>
    <xf numFmtId="3" fontId="7" fillId="0" borderId="0" xfId="0" applyNumberFormat="1" applyFont="1" applyFill="1" applyBorder="1"/>
    <xf numFmtId="0" fontId="12" fillId="14" borderId="0" xfId="0" applyFont="1" applyFill="1" applyBorder="1" applyAlignment="1"/>
    <xf numFmtId="0" fontId="13" fillId="15" borderId="0" xfId="0" applyFont="1" applyFill="1" applyBorder="1" applyAlignment="1"/>
    <xf numFmtId="0" fontId="13" fillId="15" borderId="0" xfId="0" applyFont="1" applyFill="1" applyBorder="1"/>
    <xf numFmtId="0" fontId="4" fillId="0" borderId="0" xfId="0" applyFont="1" applyBorder="1" applyAlignment="1">
      <alignment horizontal="left" indent="2"/>
    </xf>
    <xf numFmtId="0" fontId="2" fillId="8" borderId="0" xfId="0" applyFont="1" applyFill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5CF"/>
      <color rgb="FF0000FF"/>
      <color rgb="FFE74B3C"/>
      <color rgb="FF3398DB"/>
      <color rgb="FF26AE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60"/>
  <sheetViews>
    <sheetView showGridLines="0" tabSelected="1" topLeftCell="A21" zoomScale="132" zoomScaleNormal="100" workbookViewId="0">
      <selection activeCell="B30" sqref="B30"/>
    </sheetView>
  </sheetViews>
  <sheetFormatPr baseColWidth="10" defaultColWidth="8.6640625" defaultRowHeight="13" x14ac:dyDescent="0.15"/>
  <cols>
    <col min="1" max="1" width="5" style="3" customWidth="1"/>
    <col min="2" max="2" width="28" style="3" customWidth="1"/>
    <col min="3" max="3" width="15" style="3" customWidth="1"/>
    <col min="4" max="4" width="12" style="3" customWidth="1"/>
    <col min="5" max="5" width="15" style="3" customWidth="1"/>
    <col min="6" max="6" width="5" style="3" customWidth="1"/>
    <col min="7" max="7" width="28" style="3" customWidth="1"/>
    <col min="8" max="8" width="15" style="3" customWidth="1"/>
    <col min="9" max="9" width="12" style="3" customWidth="1"/>
    <col min="10" max="10" width="15" style="3" customWidth="1"/>
    <col min="11" max="11" width="5" style="3" customWidth="1"/>
    <col min="12" max="12" width="28" style="3" customWidth="1"/>
    <col min="13" max="13" width="15" style="3" customWidth="1"/>
    <col min="14" max="14" width="12" style="3" customWidth="1"/>
    <col min="15" max="15" width="15" style="3" customWidth="1"/>
    <col min="16" max="16384" width="8.6640625" style="3"/>
  </cols>
  <sheetData>
    <row r="1" spans="2:15" ht="15" customHeight="1" x14ac:dyDescent="0.15">
      <c r="B1" s="1" t="s">
        <v>0</v>
      </c>
      <c r="C1" s="2"/>
      <c r="D1" s="2"/>
      <c r="E1" s="2"/>
      <c r="G1" s="4" t="s">
        <v>1</v>
      </c>
      <c r="H1" s="5"/>
      <c r="I1" s="5"/>
      <c r="J1" s="5"/>
      <c r="L1" s="6" t="s">
        <v>2</v>
      </c>
      <c r="M1" s="7"/>
      <c r="N1" s="7"/>
      <c r="O1" s="7"/>
    </row>
    <row r="3" spans="2:15" ht="15" customHeight="1" x14ac:dyDescent="0.15">
      <c r="B3" s="23" t="s">
        <v>3</v>
      </c>
      <c r="C3" s="24"/>
      <c r="D3" s="24"/>
      <c r="E3" s="24"/>
      <c r="G3" s="23" t="s">
        <v>3</v>
      </c>
      <c r="H3" s="24"/>
      <c r="I3" s="24"/>
      <c r="J3" s="24"/>
      <c r="L3" s="23" t="s">
        <v>3</v>
      </c>
      <c r="M3" s="24"/>
      <c r="N3" s="24"/>
      <c r="O3" s="24"/>
    </row>
    <row r="4" spans="2:15" ht="15" customHeight="1" x14ac:dyDescent="0.15">
      <c r="B4" s="14" t="s">
        <v>4</v>
      </c>
      <c r="C4" s="9">
        <v>2</v>
      </c>
      <c r="D4" s="3" t="s">
        <v>5</v>
      </c>
      <c r="E4" s="3" t="s">
        <v>6</v>
      </c>
      <c r="G4" s="14" t="s">
        <v>4</v>
      </c>
      <c r="H4" s="9">
        <v>4</v>
      </c>
      <c r="I4" s="3" t="s">
        <v>7</v>
      </c>
      <c r="J4" s="3" t="s">
        <v>6</v>
      </c>
      <c r="L4" s="14" t="s">
        <v>8</v>
      </c>
      <c r="M4" s="9">
        <v>2</v>
      </c>
      <c r="N4" s="3" t="s">
        <v>9</v>
      </c>
      <c r="O4" s="3" t="s">
        <v>6</v>
      </c>
    </row>
    <row r="5" spans="2:15" ht="15" customHeight="1" x14ac:dyDescent="0.15">
      <c r="B5" s="14" t="s">
        <v>10</v>
      </c>
      <c r="C5" s="9">
        <v>500000</v>
      </c>
      <c r="D5" s="3" t="s">
        <v>11</v>
      </c>
      <c r="E5" s="3" t="s">
        <v>6</v>
      </c>
      <c r="G5" s="14" t="s">
        <v>10</v>
      </c>
      <c r="H5" s="9">
        <v>250000</v>
      </c>
      <c r="I5" s="3" t="s">
        <v>11</v>
      </c>
      <c r="J5" s="3" t="s">
        <v>6</v>
      </c>
      <c r="L5" s="14" t="s">
        <v>12</v>
      </c>
      <c r="M5" s="9">
        <v>3</v>
      </c>
      <c r="N5" s="3" t="s">
        <v>13</v>
      </c>
      <c r="O5" s="3" t="s">
        <v>6</v>
      </c>
    </row>
    <row r="6" spans="2:15" ht="15" customHeight="1" x14ac:dyDescent="0.15">
      <c r="B6" s="15" t="s">
        <v>14</v>
      </c>
      <c r="C6" s="17">
        <f>C5*C4</f>
        <v>1000000</v>
      </c>
      <c r="D6" s="18" t="s">
        <v>11</v>
      </c>
      <c r="E6" s="16" t="s">
        <v>15</v>
      </c>
      <c r="G6" s="15" t="s">
        <v>14</v>
      </c>
      <c r="H6" s="17">
        <v>1000000</v>
      </c>
      <c r="I6" s="18" t="s">
        <v>11</v>
      </c>
      <c r="J6" s="16" t="s">
        <v>15</v>
      </c>
      <c r="L6" s="14" t="s">
        <v>16</v>
      </c>
      <c r="M6" s="9">
        <v>300000</v>
      </c>
      <c r="N6" s="3" t="s">
        <v>11</v>
      </c>
      <c r="O6" s="3" t="s">
        <v>6</v>
      </c>
    </row>
    <row r="7" spans="2:15" ht="15" customHeight="1" x14ac:dyDescent="0.15">
      <c r="B7" s="8"/>
      <c r="C7" s="20"/>
      <c r="D7" s="19"/>
      <c r="G7" s="8"/>
      <c r="H7" s="8"/>
      <c r="L7" s="14" t="s">
        <v>17</v>
      </c>
      <c r="M7" s="9">
        <v>100000</v>
      </c>
      <c r="N7" s="3" t="s">
        <v>11</v>
      </c>
      <c r="O7" s="3" t="s">
        <v>6</v>
      </c>
    </row>
    <row r="8" spans="2:15" ht="15" customHeight="1" x14ac:dyDescent="0.15">
      <c r="B8" s="8"/>
      <c r="C8" s="20"/>
      <c r="D8" s="19"/>
      <c r="G8" s="8"/>
      <c r="H8" s="8"/>
      <c r="L8" s="14" t="s">
        <v>97</v>
      </c>
      <c r="M8" s="25">
        <f>(M27+M28+M29)*M4</f>
        <v>300000</v>
      </c>
      <c r="N8" s="3" t="s">
        <v>11</v>
      </c>
      <c r="O8" s="3" t="s">
        <v>15</v>
      </c>
    </row>
    <row r="9" spans="2:15" ht="15" customHeight="1" x14ac:dyDescent="0.15">
      <c r="B9" s="8"/>
      <c r="C9" s="20"/>
      <c r="D9" s="19"/>
      <c r="G9" s="8"/>
      <c r="H9" s="8"/>
      <c r="L9" s="15" t="s">
        <v>14</v>
      </c>
      <c r="M9" s="17">
        <f>M4*M6+M7+M8</f>
        <v>1000000</v>
      </c>
      <c r="N9" s="18" t="s">
        <v>11</v>
      </c>
      <c r="O9" s="16" t="s">
        <v>15</v>
      </c>
    </row>
    <row r="10" spans="2:15" ht="15" customHeight="1" x14ac:dyDescent="0.15"/>
    <row r="11" spans="2:15" ht="15" customHeight="1" x14ac:dyDescent="0.15">
      <c r="B11" s="23" t="s">
        <v>18</v>
      </c>
      <c r="C11" s="24"/>
      <c r="D11" s="24"/>
      <c r="E11" s="24"/>
      <c r="G11" s="23" t="s">
        <v>18</v>
      </c>
      <c r="H11" s="24"/>
      <c r="I11" s="24"/>
      <c r="J11" s="24"/>
      <c r="L11" s="23" t="s">
        <v>23</v>
      </c>
      <c r="M11" s="24"/>
      <c r="N11" s="24"/>
      <c r="O11" s="24"/>
    </row>
    <row r="12" spans="2:15" ht="15" customHeight="1" x14ac:dyDescent="0.15">
      <c r="B12" s="8" t="s">
        <v>19</v>
      </c>
      <c r="G12" s="8" t="s">
        <v>19</v>
      </c>
      <c r="L12" s="8" t="s">
        <v>19</v>
      </c>
    </row>
    <row r="13" spans="2:15" ht="15" customHeight="1" x14ac:dyDescent="0.15">
      <c r="B13" s="3" t="s">
        <v>20</v>
      </c>
      <c r="C13" s="9">
        <v>15000</v>
      </c>
      <c r="D13" s="3" t="s">
        <v>11</v>
      </c>
      <c r="E13" s="3" t="s">
        <v>6</v>
      </c>
      <c r="G13" s="3" t="s">
        <v>21</v>
      </c>
      <c r="H13" s="9">
        <v>2</v>
      </c>
      <c r="I13" s="3" t="s">
        <v>22</v>
      </c>
      <c r="J13" s="3" t="s">
        <v>6</v>
      </c>
      <c r="L13" s="3" t="s">
        <v>29</v>
      </c>
      <c r="M13" s="9">
        <v>200</v>
      </c>
      <c r="N13" s="3" t="s">
        <v>30</v>
      </c>
      <c r="O13" s="3" t="s">
        <v>6</v>
      </c>
    </row>
    <row r="14" spans="2:15" ht="15" customHeight="1" x14ac:dyDescent="0.15">
      <c r="B14" s="3" t="s">
        <v>24</v>
      </c>
      <c r="C14" s="9">
        <v>10</v>
      </c>
      <c r="D14" s="3" t="s">
        <v>25</v>
      </c>
      <c r="E14" s="3" t="s">
        <v>6</v>
      </c>
      <c r="G14" s="3" t="s">
        <v>26</v>
      </c>
      <c r="H14" s="9">
        <v>300</v>
      </c>
      <c r="I14" s="3" t="s">
        <v>27</v>
      </c>
      <c r="J14" s="3" t="s">
        <v>6</v>
      </c>
      <c r="L14" s="3" t="s">
        <v>31</v>
      </c>
      <c r="M14" s="9">
        <v>90</v>
      </c>
      <c r="N14" s="3" t="s">
        <v>30</v>
      </c>
      <c r="O14" s="3" t="s">
        <v>6</v>
      </c>
    </row>
    <row r="15" spans="2:15" ht="15" customHeight="1" x14ac:dyDescent="0.15">
      <c r="B15" s="15" t="s">
        <v>89</v>
      </c>
      <c r="C15" s="17">
        <f>C14*C13</f>
        <v>150000</v>
      </c>
      <c r="D15" s="18" t="s">
        <v>11</v>
      </c>
      <c r="E15" s="16" t="s">
        <v>15</v>
      </c>
      <c r="G15" s="3" t="s">
        <v>28</v>
      </c>
      <c r="H15" s="11">
        <v>0.2</v>
      </c>
      <c r="J15" s="3" t="s">
        <v>6</v>
      </c>
      <c r="L15" s="3" t="s">
        <v>35</v>
      </c>
      <c r="M15" s="25">
        <f>M13+M14</f>
        <v>290</v>
      </c>
      <c r="N15" s="3" t="s">
        <v>30</v>
      </c>
      <c r="O15" s="3" t="s">
        <v>15</v>
      </c>
    </row>
    <row r="16" spans="2:15" ht="15" customHeight="1" x14ac:dyDescent="0.15">
      <c r="G16" s="3" t="s">
        <v>93</v>
      </c>
      <c r="H16" s="25">
        <f>H13*H14*(1-H15)</f>
        <v>480</v>
      </c>
      <c r="I16" s="3" t="s">
        <v>22</v>
      </c>
      <c r="J16" s="3" t="s">
        <v>15</v>
      </c>
      <c r="L16" s="3" t="s">
        <v>38</v>
      </c>
      <c r="M16" s="9">
        <v>2500</v>
      </c>
      <c r="N16" s="3" t="s">
        <v>39</v>
      </c>
      <c r="O16" s="3" t="s">
        <v>6</v>
      </c>
    </row>
    <row r="17" spans="2:15" ht="15" customHeight="1" x14ac:dyDescent="0.15">
      <c r="G17" s="3" t="s">
        <v>33</v>
      </c>
      <c r="H17" s="9">
        <v>500</v>
      </c>
      <c r="I17" s="3" t="s">
        <v>34</v>
      </c>
      <c r="J17" s="3" t="s">
        <v>6</v>
      </c>
      <c r="L17" s="15" t="s">
        <v>89</v>
      </c>
      <c r="M17" s="17">
        <v>725000</v>
      </c>
      <c r="N17" s="18" t="s">
        <v>11</v>
      </c>
      <c r="O17" s="16" t="s">
        <v>15</v>
      </c>
    </row>
    <row r="18" spans="2:15" ht="15" customHeight="1" x14ac:dyDescent="0.15">
      <c r="G18" s="3" t="s">
        <v>37</v>
      </c>
      <c r="H18" s="25">
        <f>H17*H16</f>
        <v>240000</v>
      </c>
      <c r="I18" s="3" t="s">
        <v>11</v>
      </c>
      <c r="J18" s="3" t="s">
        <v>15</v>
      </c>
    </row>
    <row r="19" spans="2:15" ht="15" customHeight="1" x14ac:dyDescent="0.15">
      <c r="G19" s="3" t="s">
        <v>41</v>
      </c>
      <c r="H19" s="11">
        <v>0.15</v>
      </c>
      <c r="J19" s="3" t="s">
        <v>6</v>
      </c>
    </row>
    <row r="20" spans="2:15" ht="15" customHeight="1" x14ac:dyDescent="0.15">
      <c r="G20" s="3" t="s">
        <v>43</v>
      </c>
      <c r="H20" s="9">
        <v>80</v>
      </c>
      <c r="I20" s="3" t="s">
        <v>30</v>
      </c>
      <c r="J20" s="3" t="s">
        <v>6</v>
      </c>
    </row>
    <row r="21" spans="2:15" ht="15" customHeight="1" x14ac:dyDescent="0.15">
      <c r="G21" s="3" t="s">
        <v>44</v>
      </c>
      <c r="H21" s="9">
        <v>2500</v>
      </c>
      <c r="I21" s="3" t="s">
        <v>39</v>
      </c>
      <c r="J21" s="3" t="s">
        <v>6</v>
      </c>
    </row>
    <row r="22" spans="2:15" ht="15" customHeight="1" x14ac:dyDescent="0.15">
      <c r="G22" s="3" t="s">
        <v>45</v>
      </c>
      <c r="H22" s="25">
        <f>H20*H21*H19</f>
        <v>30000</v>
      </c>
      <c r="I22" s="3" t="s">
        <v>11</v>
      </c>
      <c r="J22" s="3" t="s">
        <v>15</v>
      </c>
    </row>
    <row r="23" spans="2:15" ht="15" customHeight="1" x14ac:dyDescent="0.15">
      <c r="G23" s="15" t="s">
        <v>89</v>
      </c>
      <c r="H23" s="17">
        <f>H18+H22</f>
        <v>270000</v>
      </c>
      <c r="I23" s="18" t="s">
        <v>11</v>
      </c>
      <c r="J23" s="16" t="s">
        <v>15</v>
      </c>
    </row>
    <row r="24" spans="2:15" ht="15" customHeight="1" x14ac:dyDescent="0.15"/>
    <row r="25" spans="2:15" ht="15" customHeight="1" x14ac:dyDescent="0.15">
      <c r="B25" s="8" t="s">
        <v>32</v>
      </c>
      <c r="G25" s="8" t="s">
        <v>32</v>
      </c>
      <c r="L25" s="8" t="s">
        <v>32</v>
      </c>
    </row>
    <row r="26" spans="2:15" ht="15" customHeight="1" x14ac:dyDescent="0.15">
      <c r="B26" s="3" t="s">
        <v>36</v>
      </c>
      <c r="C26" s="9">
        <v>25000</v>
      </c>
      <c r="D26" s="3" t="s">
        <v>11</v>
      </c>
      <c r="E26" s="3" t="s">
        <v>6</v>
      </c>
      <c r="G26" s="3" t="s">
        <v>52</v>
      </c>
      <c r="H26" s="9">
        <v>30000</v>
      </c>
      <c r="I26" s="3" t="s">
        <v>11</v>
      </c>
      <c r="J26" s="3" t="s">
        <v>6</v>
      </c>
      <c r="L26" s="3" t="s">
        <v>46</v>
      </c>
      <c r="M26" s="25">
        <f>M6</f>
        <v>300000</v>
      </c>
      <c r="N26" s="3" t="s">
        <v>11</v>
      </c>
      <c r="O26" s="3" t="s">
        <v>15</v>
      </c>
    </row>
    <row r="27" spans="2:15" ht="15" customHeight="1" x14ac:dyDescent="0.15">
      <c r="B27" s="3" t="s">
        <v>40</v>
      </c>
      <c r="C27" s="9">
        <v>7500</v>
      </c>
      <c r="D27" s="3" t="s">
        <v>11</v>
      </c>
      <c r="E27" s="3" t="s">
        <v>6</v>
      </c>
      <c r="G27" s="3" t="s">
        <v>49</v>
      </c>
      <c r="H27" s="9">
        <v>20000</v>
      </c>
      <c r="I27" s="3" t="s">
        <v>11</v>
      </c>
      <c r="J27" s="3" t="s">
        <v>6</v>
      </c>
      <c r="L27" s="3" t="s">
        <v>48</v>
      </c>
      <c r="M27" s="9">
        <v>120000</v>
      </c>
      <c r="N27" s="3" t="s">
        <v>11</v>
      </c>
      <c r="O27" s="3" t="s">
        <v>6</v>
      </c>
    </row>
    <row r="28" spans="2:15" ht="15" customHeight="1" x14ac:dyDescent="0.15">
      <c r="B28" s="3" t="s">
        <v>42</v>
      </c>
      <c r="C28" s="9">
        <v>5400</v>
      </c>
      <c r="D28" s="3" t="s">
        <v>11</v>
      </c>
      <c r="E28" s="3" t="s">
        <v>6</v>
      </c>
      <c r="G28" s="3" t="s">
        <v>50</v>
      </c>
      <c r="H28" s="9">
        <v>10000</v>
      </c>
      <c r="I28" s="3" t="s">
        <v>11</v>
      </c>
      <c r="J28" s="3" t="s">
        <v>6</v>
      </c>
      <c r="L28" s="3" t="s">
        <v>49</v>
      </c>
      <c r="M28" s="9">
        <v>20000</v>
      </c>
      <c r="N28" s="3" t="s">
        <v>11</v>
      </c>
      <c r="O28" s="3" t="s">
        <v>6</v>
      </c>
    </row>
    <row r="29" spans="2:15" ht="15" customHeight="1" x14ac:dyDescent="0.15">
      <c r="B29" s="15" t="s">
        <v>90</v>
      </c>
      <c r="C29" s="17">
        <f>C26+C27+C28</f>
        <v>37900</v>
      </c>
      <c r="D29" s="18" t="s">
        <v>11</v>
      </c>
      <c r="E29" s="16" t="s">
        <v>15</v>
      </c>
      <c r="G29" s="15" t="s">
        <v>90</v>
      </c>
      <c r="H29" s="17">
        <f>H26+H27+H28</f>
        <v>60000</v>
      </c>
      <c r="I29" s="18" t="s">
        <v>11</v>
      </c>
      <c r="J29" s="16" t="s">
        <v>15</v>
      </c>
      <c r="L29" s="3" t="s">
        <v>50</v>
      </c>
      <c r="M29" s="9">
        <v>10000</v>
      </c>
      <c r="N29" s="3" t="s">
        <v>11</v>
      </c>
      <c r="O29" s="3" t="s">
        <v>6</v>
      </c>
    </row>
    <row r="30" spans="2:15" ht="15" customHeight="1" x14ac:dyDescent="0.15">
      <c r="L30" s="15" t="s">
        <v>90</v>
      </c>
      <c r="M30" s="17">
        <f>M26+M27+M28+M29</f>
        <v>450000</v>
      </c>
      <c r="N30" s="18" t="s">
        <v>11</v>
      </c>
      <c r="O30" s="16" t="s">
        <v>15</v>
      </c>
    </row>
    <row r="31" spans="2:15" ht="15" customHeight="1" x14ac:dyDescent="0.15"/>
    <row r="32" spans="2:15" ht="15" customHeight="1" x14ac:dyDescent="0.15">
      <c r="B32" s="8" t="s">
        <v>47</v>
      </c>
      <c r="G32" s="8" t="s">
        <v>47</v>
      </c>
      <c r="L32" s="8" t="s">
        <v>47</v>
      </c>
    </row>
    <row r="33" spans="2:15" ht="15" customHeight="1" x14ac:dyDescent="0.15">
      <c r="B33" s="19" t="s">
        <v>91</v>
      </c>
      <c r="C33" s="20">
        <f>C15-C29</f>
        <v>112100</v>
      </c>
      <c r="D33" s="19" t="s">
        <v>11</v>
      </c>
      <c r="E33" s="3" t="s">
        <v>15</v>
      </c>
      <c r="G33" s="19" t="s">
        <v>91</v>
      </c>
      <c r="H33" s="20">
        <f>H23-H29</f>
        <v>210000</v>
      </c>
      <c r="I33" s="19" t="s">
        <v>11</v>
      </c>
      <c r="J33" s="3" t="s">
        <v>15</v>
      </c>
      <c r="L33" s="19" t="s">
        <v>94</v>
      </c>
      <c r="M33" s="20">
        <f>M17-M30</f>
        <v>275000</v>
      </c>
      <c r="N33" s="19" t="s">
        <v>11</v>
      </c>
      <c r="O33" s="3" t="s">
        <v>15</v>
      </c>
    </row>
    <row r="34" spans="2:15" ht="15" customHeight="1" x14ac:dyDescent="0.15">
      <c r="B34" s="21" t="s">
        <v>92</v>
      </c>
      <c r="C34" s="22">
        <f>C33/C5</f>
        <v>0.22420000000000001</v>
      </c>
      <c r="D34" s="21"/>
      <c r="E34" s="21" t="s">
        <v>15</v>
      </c>
      <c r="G34" s="21" t="s">
        <v>92</v>
      </c>
      <c r="H34" s="22">
        <f>H33/H5</f>
        <v>0.84</v>
      </c>
      <c r="I34" s="21" t="s">
        <v>51</v>
      </c>
      <c r="J34" s="21" t="s">
        <v>15</v>
      </c>
      <c r="L34" s="21" t="s">
        <v>95</v>
      </c>
      <c r="M34" s="22">
        <v>0.61109999999999998</v>
      </c>
      <c r="N34" s="21" t="s">
        <v>51</v>
      </c>
      <c r="O34" s="21" t="s">
        <v>15</v>
      </c>
    </row>
    <row r="35" spans="2:15" ht="15" customHeight="1" x14ac:dyDescent="0.15">
      <c r="G35" s="10"/>
      <c r="H35" s="10"/>
      <c r="I35" s="10"/>
      <c r="J35" s="10"/>
    </row>
    <row r="36" spans="2:15" ht="15" customHeight="1" x14ac:dyDescent="0.15"/>
    <row r="37" spans="2:15" ht="15" customHeight="1" x14ac:dyDescent="0.15">
      <c r="B37" s="23" t="s">
        <v>53</v>
      </c>
      <c r="C37" s="24"/>
      <c r="D37" s="24"/>
      <c r="E37" s="24"/>
      <c r="G37" s="23" t="s">
        <v>53</v>
      </c>
      <c r="H37" s="24"/>
      <c r="I37" s="24"/>
      <c r="J37" s="24"/>
      <c r="L37" s="23" t="s">
        <v>53</v>
      </c>
      <c r="M37" s="24"/>
      <c r="N37" s="24"/>
      <c r="O37" s="24"/>
    </row>
    <row r="38" spans="2:15" ht="15" customHeight="1" x14ac:dyDescent="0.15">
      <c r="B38" s="3" t="s">
        <v>54</v>
      </c>
      <c r="C38" s="11">
        <v>1.1299999999999999</v>
      </c>
      <c r="D38" s="3" t="s">
        <v>98</v>
      </c>
      <c r="E38" s="3" t="s">
        <v>6</v>
      </c>
      <c r="G38" s="3" t="s">
        <v>54</v>
      </c>
      <c r="H38" s="11">
        <v>-0.2</v>
      </c>
      <c r="I38" s="3" t="s">
        <v>67</v>
      </c>
      <c r="J38" s="3" t="s">
        <v>6</v>
      </c>
      <c r="L38" s="3" t="s">
        <v>54</v>
      </c>
      <c r="M38" s="11">
        <v>-0.3</v>
      </c>
      <c r="N38" s="3" t="s">
        <v>58</v>
      </c>
      <c r="O38" s="3" t="s">
        <v>6</v>
      </c>
    </row>
    <row r="39" spans="2:15" ht="15" customHeight="1" x14ac:dyDescent="0.15">
      <c r="B39" s="3" t="s">
        <v>55</v>
      </c>
      <c r="C39" s="11">
        <v>0</v>
      </c>
      <c r="D39" s="3" t="s">
        <v>99</v>
      </c>
      <c r="E39" s="3" t="s">
        <v>6</v>
      </c>
      <c r="G39" s="3" t="s">
        <v>55</v>
      </c>
      <c r="H39" s="11">
        <v>0</v>
      </c>
      <c r="I39" s="3" t="s">
        <v>61</v>
      </c>
      <c r="J39" s="3" t="s">
        <v>6</v>
      </c>
      <c r="L39" s="3" t="s">
        <v>55</v>
      </c>
      <c r="M39" s="11">
        <v>0</v>
      </c>
      <c r="N39" s="3" t="s">
        <v>61</v>
      </c>
      <c r="O39" s="3" t="s">
        <v>6</v>
      </c>
    </row>
    <row r="40" spans="2:15" ht="15" customHeight="1" x14ac:dyDescent="0.15">
      <c r="B40" s="3" t="s">
        <v>56</v>
      </c>
      <c r="C40" s="11">
        <v>0.13</v>
      </c>
      <c r="D40" s="3" t="s">
        <v>100</v>
      </c>
      <c r="E40" s="3" t="s">
        <v>6</v>
      </c>
      <c r="G40" s="3" t="s">
        <v>56</v>
      </c>
      <c r="H40" s="11">
        <v>0.2</v>
      </c>
      <c r="I40" s="3" t="s">
        <v>69</v>
      </c>
      <c r="J40" s="3" t="s">
        <v>6</v>
      </c>
      <c r="L40" s="3" t="s">
        <v>56</v>
      </c>
      <c r="M40" s="11">
        <v>0.3</v>
      </c>
      <c r="N40" s="3" t="s">
        <v>64</v>
      </c>
      <c r="O40" s="3" t="s">
        <v>6</v>
      </c>
    </row>
    <row r="41" spans="2:15" ht="15" customHeight="1" x14ac:dyDescent="0.15"/>
    <row r="42" spans="2:15" ht="15" customHeight="1" x14ac:dyDescent="0.15">
      <c r="B42" s="23" t="s">
        <v>57</v>
      </c>
      <c r="C42" s="24"/>
      <c r="D42" s="24"/>
      <c r="E42" s="24"/>
      <c r="G42" s="23" t="s">
        <v>57</v>
      </c>
      <c r="H42" s="24"/>
      <c r="I42" s="24"/>
      <c r="J42" s="24"/>
      <c r="L42" s="23" t="s">
        <v>57</v>
      </c>
      <c r="M42" s="24"/>
      <c r="N42" s="24"/>
      <c r="O42" s="24"/>
    </row>
    <row r="43" spans="2:15" ht="15" customHeight="1" x14ac:dyDescent="0.15">
      <c r="B43" s="3" t="s">
        <v>59</v>
      </c>
      <c r="C43" s="11">
        <v>0.02</v>
      </c>
      <c r="D43" s="3" t="s">
        <v>60</v>
      </c>
      <c r="E43" s="3" t="s">
        <v>6</v>
      </c>
      <c r="G43" s="3" t="s">
        <v>59</v>
      </c>
      <c r="H43" s="11">
        <v>0.2</v>
      </c>
      <c r="I43" s="3" t="s">
        <v>60</v>
      </c>
      <c r="J43" s="3" t="s">
        <v>6</v>
      </c>
      <c r="L43" s="3" t="s">
        <v>59</v>
      </c>
      <c r="M43" s="11">
        <v>0.2</v>
      </c>
      <c r="N43" s="3" t="s">
        <v>60</v>
      </c>
      <c r="O43" s="3" t="s">
        <v>6</v>
      </c>
    </row>
    <row r="44" spans="2:15" ht="15" customHeight="1" x14ac:dyDescent="0.15">
      <c r="B44" s="3" t="s">
        <v>62</v>
      </c>
      <c r="C44" s="11">
        <v>0.03</v>
      </c>
      <c r="D44" s="3" t="s">
        <v>63</v>
      </c>
      <c r="G44" s="3" t="s">
        <v>62</v>
      </c>
      <c r="H44" s="11">
        <v>0.8</v>
      </c>
      <c r="I44" s="3" t="s">
        <v>63</v>
      </c>
      <c r="J44" s="3" t="s">
        <v>6</v>
      </c>
      <c r="L44" s="3" t="s">
        <v>62</v>
      </c>
      <c r="M44" s="11">
        <v>0.8</v>
      </c>
      <c r="N44" s="3" t="s">
        <v>63</v>
      </c>
      <c r="O44" s="3" t="s">
        <v>6</v>
      </c>
    </row>
    <row r="45" spans="2:15" ht="15" customHeight="1" x14ac:dyDescent="0.15">
      <c r="B45" s="3" t="s">
        <v>65</v>
      </c>
      <c r="C45" s="11">
        <v>-0.1</v>
      </c>
      <c r="E45" s="3" t="s">
        <v>6</v>
      </c>
      <c r="G45" s="3" t="s">
        <v>65</v>
      </c>
      <c r="H45" s="11">
        <v>-0.15</v>
      </c>
      <c r="J45" s="3" t="s">
        <v>6</v>
      </c>
      <c r="L45" s="3" t="s">
        <v>65</v>
      </c>
      <c r="M45" s="11">
        <v>-0.75</v>
      </c>
      <c r="N45" s="3" t="s">
        <v>71</v>
      </c>
      <c r="O45" s="3" t="s">
        <v>6</v>
      </c>
    </row>
    <row r="46" spans="2:15" ht="15" customHeight="1" x14ac:dyDescent="0.15">
      <c r="B46" s="3" t="s">
        <v>66</v>
      </c>
      <c r="C46" s="11">
        <v>0.95</v>
      </c>
      <c r="D46" s="3" t="s">
        <v>63</v>
      </c>
      <c r="E46" s="3" t="s">
        <v>6</v>
      </c>
      <c r="G46" s="3" t="s">
        <v>66</v>
      </c>
      <c r="H46" s="11">
        <v>0</v>
      </c>
      <c r="I46" s="3" t="s">
        <v>63</v>
      </c>
      <c r="J46" s="3" t="s">
        <v>6</v>
      </c>
      <c r="L46" s="3" t="s">
        <v>66</v>
      </c>
      <c r="M46" s="11">
        <v>0</v>
      </c>
      <c r="N46" s="3" t="s">
        <v>63</v>
      </c>
      <c r="O46" s="3" t="s">
        <v>6</v>
      </c>
    </row>
    <row r="47" spans="2:15" ht="15" customHeight="1" x14ac:dyDescent="0.15">
      <c r="B47" s="3" t="s">
        <v>68</v>
      </c>
      <c r="C47" s="11">
        <v>0.02</v>
      </c>
      <c r="E47" s="3" t="s">
        <v>6</v>
      </c>
      <c r="G47" s="3" t="s">
        <v>68</v>
      </c>
      <c r="H47" s="11">
        <v>0</v>
      </c>
      <c r="J47" s="3" t="s">
        <v>6</v>
      </c>
      <c r="L47" s="3" t="s">
        <v>68</v>
      </c>
      <c r="M47" s="11">
        <v>0</v>
      </c>
      <c r="O47" s="3" t="s">
        <v>6</v>
      </c>
    </row>
    <row r="49" spans="2:15" x14ac:dyDescent="0.15">
      <c r="B49" s="23" t="s">
        <v>70</v>
      </c>
      <c r="C49" s="24"/>
      <c r="D49" s="24"/>
      <c r="E49" s="24"/>
      <c r="G49" s="23" t="s">
        <v>70</v>
      </c>
      <c r="H49" s="24"/>
      <c r="I49" s="24"/>
      <c r="J49" s="24"/>
      <c r="L49" s="23" t="s">
        <v>74</v>
      </c>
      <c r="M49" s="24"/>
      <c r="N49" s="24"/>
      <c r="O49" s="24"/>
    </row>
    <row r="50" spans="2:15" x14ac:dyDescent="0.15">
      <c r="L50" s="3" t="s">
        <v>75</v>
      </c>
      <c r="M50" s="25">
        <f>M33*M4</f>
        <v>550000</v>
      </c>
      <c r="N50" s="3" t="s">
        <v>11</v>
      </c>
      <c r="O50" s="3" t="s">
        <v>15</v>
      </c>
    </row>
    <row r="51" spans="2:15" ht="15" customHeight="1" x14ac:dyDescent="0.15">
      <c r="B51" s="3" t="s">
        <v>72</v>
      </c>
      <c r="C51" s="25">
        <f>C33*C4</f>
        <v>224200</v>
      </c>
      <c r="D51" s="3" t="s">
        <v>11</v>
      </c>
      <c r="E51" s="3" t="s">
        <v>15</v>
      </c>
      <c r="G51" s="3" t="s">
        <v>72</v>
      </c>
      <c r="H51" s="25">
        <v>840000</v>
      </c>
      <c r="I51" s="3" t="s">
        <v>11</v>
      </c>
      <c r="J51" s="3" t="s">
        <v>15</v>
      </c>
      <c r="L51" s="3" t="s">
        <v>96</v>
      </c>
      <c r="M51" s="25">
        <f>M50*M5</f>
        <v>1650000</v>
      </c>
      <c r="N51" s="3" t="s">
        <v>11</v>
      </c>
      <c r="O51" s="3" t="s">
        <v>15</v>
      </c>
    </row>
    <row r="52" spans="2:15" x14ac:dyDescent="0.15">
      <c r="B52" s="21" t="s">
        <v>73</v>
      </c>
      <c r="C52" s="22">
        <v>0.22420000000000001</v>
      </c>
      <c r="D52" s="21" t="s">
        <v>51</v>
      </c>
      <c r="E52" s="21" t="s">
        <v>15</v>
      </c>
      <c r="G52" s="21" t="s">
        <v>73</v>
      </c>
      <c r="H52" s="22">
        <v>0.84</v>
      </c>
      <c r="I52" s="21" t="s">
        <v>51</v>
      </c>
      <c r="J52" s="21" t="s">
        <v>15</v>
      </c>
      <c r="L52" s="21" t="s">
        <v>76</v>
      </c>
      <c r="M52" s="22">
        <v>1.65</v>
      </c>
      <c r="N52" s="21" t="s">
        <v>51</v>
      </c>
      <c r="O52" s="21" t="s">
        <v>15</v>
      </c>
    </row>
    <row r="53" spans="2:15" ht="15" customHeight="1" x14ac:dyDescent="0.15">
      <c r="B53" s="10"/>
      <c r="C53" s="10"/>
      <c r="D53" s="10"/>
      <c r="E53" s="10"/>
      <c r="F53" s="10"/>
    </row>
    <row r="54" spans="2:15" ht="15" customHeight="1" x14ac:dyDescent="0.15"/>
    <row r="55" spans="2:15" ht="15" customHeight="1" x14ac:dyDescent="0.15">
      <c r="B55" s="26" t="s">
        <v>77</v>
      </c>
      <c r="C55" s="27"/>
      <c r="D55" s="27"/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 spans="2:15" ht="15" customHeight="1" x14ac:dyDescent="0.15"/>
    <row r="57" spans="2:15" ht="15" customHeight="1" x14ac:dyDescent="0.15">
      <c r="B57" s="23" t="s">
        <v>78</v>
      </c>
      <c r="C57" s="23" t="s">
        <v>79</v>
      </c>
      <c r="D57" s="23" t="s">
        <v>80</v>
      </c>
      <c r="E57" s="23" t="s">
        <v>81</v>
      </c>
      <c r="F57" s="30" t="s">
        <v>82</v>
      </c>
      <c r="G57" s="23"/>
    </row>
    <row r="58" spans="2:15" x14ac:dyDescent="0.15">
      <c r="B58" s="3" t="s">
        <v>83</v>
      </c>
      <c r="C58" s="12">
        <f>C6</f>
        <v>1000000</v>
      </c>
      <c r="D58" s="12">
        <f>C51</f>
        <v>224200</v>
      </c>
      <c r="E58" s="13">
        <f>D58/C58</f>
        <v>0.22420000000000001</v>
      </c>
      <c r="F58" s="29" t="s">
        <v>84</v>
      </c>
    </row>
    <row r="59" spans="2:15" x14ac:dyDescent="0.15">
      <c r="B59" s="3" t="s">
        <v>85</v>
      </c>
      <c r="C59" s="12">
        <f>H6</f>
        <v>1000000</v>
      </c>
      <c r="D59" s="12">
        <f>H51</f>
        <v>840000</v>
      </c>
      <c r="E59" s="13">
        <f t="shared" ref="E59:E60" si="0">D59/C59</f>
        <v>0.84</v>
      </c>
      <c r="F59" s="29" t="s">
        <v>86</v>
      </c>
    </row>
    <row r="60" spans="2:15" x14ac:dyDescent="0.15">
      <c r="B60" s="3" t="s">
        <v>87</v>
      </c>
      <c r="C60" s="12">
        <f>M9</f>
        <v>1000000</v>
      </c>
      <c r="D60" s="12">
        <f>M51</f>
        <v>1650000</v>
      </c>
      <c r="E60" s="13">
        <f t="shared" si="0"/>
        <v>1.65</v>
      </c>
      <c r="F60" s="29" t="s">
        <v>88</v>
      </c>
    </row>
  </sheetData>
  <mergeCells count="5">
    <mergeCell ref="B53:F53"/>
    <mergeCell ref="L1:O1"/>
    <mergeCell ref="G1:J1"/>
    <mergeCell ref="G35:J35"/>
    <mergeCell ref="B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Adoudou</cp:lastModifiedBy>
  <cp:revision>0</cp:revision>
  <dcterms:created xsi:type="dcterms:W3CDTF">2026-01-06T21:07:12Z</dcterms:created>
  <dcterms:modified xsi:type="dcterms:W3CDTF">2026-01-07T16:36:39Z</dcterms:modified>
  <dc:language>en-US</dc:language>
</cp:coreProperties>
</file>